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28c1a8423446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原文件" sheetId="1" r:id="R17f361d9e59a4606"/>
    <x:sheet xmlns:r="http://schemas.openxmlformats.org/officeDocument/2006/relationships" name="计算后" sheetId="2" r:id="R6688fa36ef6846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"/>
    <x:numFmt numFmtId="202" formatCode="0.###"/>
    <x:numFmt numFmtId="203" formatCode="0.##"/>
  </x:numFmts>
  <x:fonts count="4">
    <x:font>
      <x:sz val="11"/>
      <x:name val="Carlito"/>
    </x:font>
    <x:font>
      <x:sz val="11"/>
      <x:color rgb="FF222222"/>
      <x:name val="Arial"/>
    </x:font>
    <x:font>
      <x:b/>
      <x:sz val="11"/>
      <x:color rgb="FF1F1F1F"/>
      <x:name val="Arial"/>
    </x:font>
    <x:font>
      <x:b/>
      <x:sz val="11"/>
      <x:color rgb="FF222222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DCE6F1"/>
      </x:patternFill>
    </x:fill>
    <x:fill>
      <x:patternFill patternType="solid">
        <x:fgColor rgb="FFF2F2F2"/>
      </x:patternFill>
    </x:fill>
    <x:fill>
      <x:patternFill patternType="solid">
        <x:fgColor rgb="FFDCE6F1"/>
      </x:patternFill>
    </x:fill>
    <x:fill>
      <x:patternFill patternType="solid">
        <x:fgColor rgb="FFF2F2F2"/>
      </x:patternFill>
    </x:fill>
    <x:fill>
      <x:patternFill patternType="solid">
        <x:fgColor rgb="FFDCE6F1"/>
      </x:patternFill>
    </x:fill>
    <x:fill>
      <x:patternFill patternType="solid">
        <x:fgColor rgb="FFF2F2F2"/>
      </x:patternFill>
    </x:fill>
    <x:fill>
      <x:patternFill patternType="solid">
        <x:fgColor rgb="FFDCE6F1"/>
      </x:patternFill>
    </x:fill>
    <x:fill>
      <x:patternFill patternType="solid">
        <x:fgColor rgb="FFF2F2F2"/>
      </x:patternFill>
    </x:fill>
  </x:fills>
  <x:borders count="2">
    <x:border>
      <x:left/>
      <x:right/>
      <x:top/>
      <x:bottom/>
      <x:diagonal/>
    </x:border>
    <x:border>
      <x:left style="thin">
        <x:color rgb="FFB7C4D0"/>
      </x:left>
      <x:right style="thin">
        <x:color rgb="FFB7C4D0"/>
      </x:right>
      <x:top style="thin">
        <x:color rgb="FFB7C4D0"/>
      </x:top>
      <x:bottom style="thin">
        <x:color rgb="FFB7C4D0"/>
      </x:bottom>
      <x:diagonal/>
    </x:border>
  </x:borders>
  <x:cellStyleXfs count="1">
    <x:xf numFmtId="0" fontId="0" fillId="0" borderId="0"/>
  </x:cellStyleXfs>
  <x:cellXfs count="7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left"/>
    </x:xf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right"/>
    </x:xf>
    <x:xf numFmtId="200" fontId="1" fillId="0" borderId="1" xfId="0" applyNumberFormat="1" applyFont="1" applyFill="1" applyBorder="1" applyAlignment="1">
      <x:alignment horizontal="right"/>
    </x:xf>
    <x:xf numFmtId="201" fontId="1" fillId="0" borderId="1" xfId="0" applyNumberFormat="1" applyFont="1" applyFill="1" applyBorder="1" applyAlignment="1">
      <x:alignment horizontal="right"/>
    </x:xf>
    <x:xf numFmtId="0" fontId="3" fillId="0" borderId="1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right"/>
    </x:xf>
    <x:xf numFmtId="201" fontId="3" fillId="0" borderId="1" xfId="0" applyNumberFormat="1" applyFont="1" applyFill="1" applyBorder="1" applyAlignment="1">
      <x:alignment horizontal="right"/>
    </x:xf>
    <x:xf numFmtId="0" fontId="3" fillId="3" borderId="1" xfId="0" applyNumberFormat="1" applyFont="1" applyFill="1" applyBorder="1" applyAlignment="1">
      <x:alignment horizontal="left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right"/>
    </x:xf>
    <x:xf numFmtId="201" fontId="3" fillId="3" borderId="1" xfId="0" applyNumberFormat="1" applyFont="1" applyFill="1" applyBorder="1" applyAlignment="1">
      <x:alignment horizontal="right"/>
    </x:xf>
    <x:xf numFmtId="0" fontId="1" fillId="0" borderId="1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 applyAlignment="1">
      <x:alignment horizontal="center" vertical="center"/>
    </x:xf>
    <x:xf numFmtId="200" fontId="1" fillId="0" borderId="1" xfId="0" applyNumberFormat="1" applyFont="1" applyFill="1" applyBorder="1" applyAlignment="1">
      <x:alignment horizontal="right" vertical="center"/>
    </x:xf>
    <x:xf numFmtId="201" fontId="1" fillId="0" borderId="1" xfId="0" applyNumberFormat="1" applyFont="1" applyFill="1" applyBorder="1" applyAlignment="1">
      <x:alignment horizontal="right" vertical="center"/>
    </x:xf>
    <x:xf numFmtId="0" fontId="3" fillId="3" borderId="1" xfId="0" applyNumberFormat="1" applyFont="1" applyFill="1" applyBorder="1" applyAlignment="1">
      <x:alignment horizontal="left" vertical="center"/>
    </x:xf>
    <x:xf numFmtId="0" fontId="3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horizontal="right" vertical="center"/>
    </x:xf>
    <x:xf numFmtId="201" fontId="3" fillId="3" borderId="1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2" fillId="4" borderId="1" xfId="0" applyNumberFormat="1" applyFont="1" applyFill="1" applyBorder="1" applyAlignment="1">
      <x:alignment horizontal="center" vertical="center"/>
    </x:xf>
    <x:xf numFmtId="202" fontId="1" fillId="0" borderId="1" xfId="0" applyNumberFormat="1" applyFont="1" applyFill="1" applyBorder="1" applyAlignment="1">
      <x:alignment horizontal="right"/>
    </x:xf>
    <x:xf numFmtId="203" fontId="1" fillId="0" borderId="1" xfId="0" applyNumberFormat="1" applyFont="1" applyFill="1" applyBorder="1" applyAlignment="1">
      <x:alignment horizontal="right"/>
    </x:xf>
    <x:xf numFmtId="0" fontId="3" fillId="5" borderId="1" xfId="0" applyNumberFormat="1" applyFont="1" applyFill="1" applyBorder="1" applyAlignment="1">
      <x:alignment horizontal="left"/>
    </x:xf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right"/>
    </x:xf>
    <x:xf numFmtId="201" fontId="3" fillId="5" borderId="1" xfId="0" applyNumberFormat="1" applyFont="1" applyFill="1" applyBorder="1" applyAlignment="1">
      <x:alignment horizontal="right"/>
    </x:xf>
    <x:xf numFmtId="202" fontId="1" fillId="0" borderId="1" xfId="0" applyNumberFormat="1" applyFont="1" applyFill="1" applyBorder="1" applyAlignment="1">
      <x:alignment horizontal="right" vertical="center"/>
    </x:xf>
    <x:xf numFmtId="203" fontId="1" fillId="0" borderId="1" xfId="0" applyNumberFormat="1" applyFont="1" applyFill="1" applyBorder="1" applyAlignment="1">
      <x:alignment horizontal="right" vertical="center"/>
    </x:xf>
    <x:xf numFmtId="0" fontId="3" fillId="5" borderId="1" xfId="0" applyNumberFormat="1" applyFont="1" applyFill="1" applyBorder="1" applyAlignment="1">
      <x:alignment horizontal="left" vertical="center"/>
    </x:xf>
    <x:xf numFmtId="0" fontId="3" fillId="5" borderId="1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horizontal="right" vertical="center"/>
    </x:xf>
    <x:xf numFmtId="201" fontId="3" fillId="5" borderId="1" xfId="0" applyNumberFormat="1" applyFont="1" applyFill="1" applyBorder="1" applyAlignment="1">
      <x:alignment horizontal="right" vertical="center"/>
    </x:xf>
    <x:xf numFmtId="0" fontId="0" fillId="0" borderId="1" xfId="0" applyNumberFormat="1" applyFont="1" applyFill="1" applyBorder="1"/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horizontal="center"/>
    </x:xf>
    <x:xf numFmtId="0" fontId="2" fillId="6" borderId="1" xfId="0" applyNumberFormat="1" applyFont="1" applyFill="1" applyBorder="1" applyAlignment="1">
      <x:alignment horizontal="center" vertical="center"/>
    </x:xf>
    <x:xf numFmtId="203" fontId="0" fillId="0" borderId="1" xfId="0" applyNumberFormat="1" applyFont="1" applyFill="1" applyBorder="1"/>
    <x:xf numFmtId="201" fontId="0" fillId="0" borderId="1" xfId="0" applyNumberFormat="1" applyFont="1" applyFill="1" applyBorder="1"/>
    <x:xf numFmtId="203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0" borderId="1" xfId="0" applyNumberFormat="1" applyFont="1" applyFill="1" applyBorder="1" applyAlignment="1">
      <x:alignment horizontal="right"/>
    </x:xf>
    <x:xf numFmtId="0" fontId="3" fillId="7" borderId="1" xfId="0" applyNumberFormat="1" applyFont="1" applyFill="1" applyBorder="1" applyAlignment="1">
      <x:alignment horizontal="left" vertical="center"/>
    </x:xf>
    <x:xf numFmtId="0" fontId="3" fillId="7" borderId="1" xfId="0" applyNumberFormat="1" applyFont="1" applyFill="1" applyBorder="1" applyAlignment="1">
      <x:alignment vertical="center"/>
    </x:xf>
    <x:xf numFmtId="0" fontId="3" fillId="7" borderId="1" xfId="0" applyNumberFormat="1" applyFont="1" applyFill="1" applyBorder="1" applyAlignment="1">
      <x:alignment horizontal="right" vertical="center"/>
    </x:xf>
    <x:xf numFmtId="0" fontId="3" fillId="7" borderId="1" xfId="0" applyNumberFormat="1" applyFont="1" applyFill="1" applyBorder="1" applyAlignment="1">
      <x:alignment horizontal="right"/>
    </x:xf>
    <x:xf numFmtId="201" fontId="3" fillId="7" borderId="1" xfId="0" applyNumberFormat="1" applyFont="1" applyFill="1" applyBorder="1" applyAlignment="1">
      <x:alignment horizontal="right"/>
    </x:xf>
    <x:xf numFmtId="203" fontId="0" fillId="0" borderId="1" xfId="0" applyNumberFormat="1" applyFont="1" applyFill="1" applyBorder="1" applyAlignment="1">
      <x:alignment horizontal="right" vertical="center"/>
    </x:xf>
    <x:xf numFmtId="201" fontId="0" fillId="0" borderId="1" xfId="0" applyNumberFormat="1" applyFont="1" applyFill="1" applyBorder="1" applyAlignment="1">
      <x:alignment horizontal="right" vertical="center"/>
    </x:xf>
    <x:xf numFmtId="201" fontId="3" fillId="7" borderId="1" xfId="0" applyNumberFormat="1" applyFont="1" applyFill="1" applyBorder="1" applyAlignment="1">
      <x:alignment horizontal="right" vertical="center"/>
    </x:xf>
    <x:xf numFmtId="0" fontId="0" fillId="8" borderId="1" xfId="0" applyNumberFormat="1" applyFont="1" applyFill="1" applyBorder="1"/>
    <x:xf numFmtId="0" fontId="2" fillId="8" borderId="1" xfId="0" applyNumberFormat="1" applyFont="1" applyFill="1" applyBorder="1"/>
    <x:xf numFmtId="0" fontId="2" fillId="8" borderId="1" xfId="0" applyNumberFormat="1" applyFont="1" applyFill="1" applyBorder="1" applyAlignment="1">
      <x:alignment horizontal="center"/>
    </x:xf>
    <x:xf numFmtId="0" fontId="2" fillId="8" borderId="1" xfId="0" applyNumberFormat="1" applyFont="1" applyFill="1" applyBorder="1" applyAlignment="1">
      <x:alignment horizontal="center" vertical="center"/>
    </x:xf>
    <x:xf numFmtId="0" fontId="3" fillId="9" borderId="1" xfId="0" applyNumberFormat="1" applyFont="1" applyFill="1" applyBorder="1" applyAlignment="1">
      <x:alignment horizontal="left" vertical="center"/>
    </x:xf>
    <x:xf numFmtId="0" fontId="3" fillId="9" borderId="1" xfId="0" applyNumberFormat="1" applyFont="1" applyFill="1" applyBorder="1" applyAlignment="1">
      <x:alignment vertical="center"/>
    </x:xf>
    <x:xf numFmtId="0" fontId="3" fillId="9" borderId="1" xfId="0" applyNumberFormat="1" applyFont="1" applyFill="1" applyBorder="1" applyAlignment="1">
      <x:alignment horizontal="right" vertical="center"/>
    </x:xf>
    <x:xf numFmtId="0" fontId="3" fillId="9" borderId="1" xfId="0" applyNumberFormat="1" applyFont="1" applyFill="1" applyBorder="1" applyAlignment="1">
      <x:alignment horizontal="right"/>
    </x:xf>
    <x:xf numFmtId="201" fontId="3" fillId="9" borderId="1" xfId="0" applyNumberFormat="1" applyFont="1" applyFill="1" applyBorder="1" applyAlignment="1">
      <x:alignment horizontal="right"/>
    </x:xf>
    <x:xf numFmtId="201" fontId="3" fillId="9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471ac12b5b4381" /><Relationship Type="http://schemas.openxmlformats.org/officeDocument/2006/relationships/theme" Target="/xl/theme/theme1.xml" Id="R9d4e97bd5dad4ff2" /><Relationship Type="http://schemas.openxmlformats.org/officeDocument/2006/relationships/sharedStrings" Target="/xl/sharedStrings.xml" Id="Rff3539517fe14422" /><Relationship Type="http://schemas.openxmlformats.org/officeDocument/2006/relationships/worksheet" Target="/xl/worksheets/sheet1.xml" Id="R17f361d9e59a4606" /><Relationship Type="http://schemas.openxmlformats.org/officeDocument/2006/relationships/worksheet" Target="/xl/worksheets/sheet2.xml" Id="R6688fa36ef6846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" hidden="0" customWidth="1"/>
    <x:col min="3" max="3" width="10" hidden="0" customWidth="1"/>
    <x:col min="4" max="4" width="12" hidden="0" customWidth="1"/>
    <x:col min="5" max="5" width="12" hidden="0" customWidth="1"/>
  </x:cols>
  <x:sheetData>
    <x:row r="1" ht="24" customHeight="1">
      <x:c r="A1" s="6" t="str">
        <x:v>名称</x:v>
      </x:c>
      <x:c r="B1" s="6" t="str">
        <x:v>单位</x:v>
      </x:c>
      <x:c r="C1" s="6" t="str">
        <x:v>数量</x:v>
      </x:c>
      <x:c r="D1" s="6" t="str">
        <x:v>单价</x:v>
      </x:c>
      <x:c r="E1" s="6" t="str">
        <x:v>金额</x:v>
      </x:c>
    </x:row>
    <x:row r="2" ht="22" customHeight="1">
      <x:c r="A2" s="21" t="str">
        <x:v>玛钢90度弯头 32</x:v>
      </x:c>
      <x:c r="B2" s="22" t="str">
        <x:v>只</x:v>
      </x:c>
      <x:c r="C2" s="23" t="n">
        <x:v>8</x:v>
      </x:c>
      <x:c r="D2" s="24" t="n">
        <x:v>4.42</x:v>
      </x:c>
      <x:c r="E2" s="24" t="n">
        <x:f>C2*D2</x:f>
        <x:v>35.36</x:v>
      </x:c>
    </x:row>
    <x:row r="3" ht="22" customHeight="1">
      <x:c r="A3" s="21" t="str">
        <x:v>玛钢90度弯头 40</x:v>
      </x:c>
      <x:c r="B3" s="22" t="str">
        <x:v>只</x:v>
      </x:c>
      <x:c r="C3" s="23" t="n">
        <x:v>8</x:v>
      </x:c>
      <x:c r="D3" s="24" t="n">
        <x:v>5.43</x:v>
      </x:c>
      <x:c r="E3" s="24" t="n">
        <x:f>C3*D3</x:f>
        <x:v>43.44</x:v>
      </x:c>
    </x:row>
    <x:row r="4" ht="22" customHeight="1">
      <x:c r="A4" s="21" t="str">
        <x:v>玛钢45度弯头 32</x:v>
      </x:c>
      <x:c r="B4" s="22" t="str">
        <x:v>只</x:v>
      </x:c>
      <x:c r="C4" s="23" t="n">
        <x:v>8</x:v>
      </x:c>
      <x:c r="D4" s="24" t="n">
        <x:v>4.42</x:v>
      </x:c>
      <x:c r="E4" s="24" t="n">
        <x:f>C4*D4</x:f>
        <x:v>35.36</x:v>
      </x:c>
    </x:row>
    <x:row r="5" ht="22" customHeight="1">
      <x:c r="A5" s="21" t="str">
        <x:v>玛钢45度弯头 40</x:v>
      </x:c>
      <x:c r="B5" s="22" t="str">
        <x:v>只</x:v>
      </x:c>
      <x:c r="C5" s="23" t="n">
        <x:v>8</x:v>
      </x:c>
      <x:c r="D5" s="24" t="n">
        <x:v>5.57</x:v>
      </x:c>
      <x:c r="E5" s="24" t="n">
        <x:f>C5*D5</x:f>
        <x:v>44.56</x:v>
      </x:c>
    </x:row>
    <x:row r="6" ht="22" customHeight="1">
      <x:c r="A6" s="21" t="str">
        <x:v>面盆下水管 连体</x:v>
      </x:c>
      <x:c r="B6" s="22" t="str">
        <x:v>只</x:v>
      </x:c>
      <x:c r="C6" s="23" t="n">
        <x:v>1</x:v>
      </x:c>
      <x:c r="D6" s="24" t="n">
        <x:v>15</x:v>
      </x:c>
      <x:c r="E6" s="24" t="n">
        <x:f>C6*D6</x:f>
        <x:v>15</x:v>
      </x:c>
    </x:row>
    <x:row r="7" ht="22" customHeight="1">
      <x:c r="A7" s="25" t="str">
        <x:v>合计</x:v>
      </x:c>
      <x:c r="B7" s="26"/>
      <x:c r="C7" s="27"/>
      <x:c r="D7" s="28"/>
      <x:c r="E7" s="28" t="n">
        <x:f>SUM(E2:E6)</x:f>
        <x:v>173.72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" hidden="0" customWidth="1"/>
    <x:col min="3" max="3" width="9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</x:cols>
  <x:sheetData>
    <x:row r="1" ht="24" customHeight="1">
      <x:c r="A1" s="6" t="str">
        <x:v>名称</x:v>
      </x:c>
      <x:c r="B1" s="6" t="str">
        <x:v>单位</x:v>
      </x:c>
      <x:c r="C1" s="6" t="str">
        <x:v>数量</x:v>
      </x:c>
      <x:c r="D1" s="67" t="str">
        <x:v>单价</x:v>
      </x:c>
      <x:c r="E1" s="67" t="str">
        <x:v>总价</x:v>
      </x:c>
      <x:c r="F1"/>
      <x:c r="G1"/>
    </x:row>
    <x:row r="2" ht="22" customHeight="1">
      <x:c r="A2" s="21" t="str">
        <x:f>'原文件'!A2</x:f>
        <x:v>玛钢90度弯头 32</x:v>
      </x:c>
      <x:c r="B2" s="22" t="str">
        <x:f>'原文件'!B2</x:f>
        <x:v>只</x:v>
      </x:c>
      <x:c r="C2" s="23" t="n">
        <x:f>'原文件'!C2</x:f>
        <x:v>8</x:v>
      </x:c>
      <x:c r="D2" s="61" t="n">
        <x:f>IF('原文件'!D2*1.03&lt;10,ROUND('原文件'!D2*1.03,2),IF('原文件'!D2*1.03&lt;20,ROUND('原文件'!D2*1.03,1),ROUND('原文件'!D2*1.03,0)))</x:f>
        <x:v>4.55</x:v>
      </x:c>
      <x:c r="E2" s="62" t="n">
        <x:f>C2*D2</x:f>
        <x:v>36.4</x:v>
      </x:c>
      <x:c r="F2"/>
      <x:c r="G2"/>
    </x:row>
    <x:row r="3" ht="22" customHeight="1">
      <x:c r="A3" s="21" t="str">
        <x:f>'原文件'!A3</x:f>
        <x:v>玛钢90度弯头 40</x:v>
      </x:c>
      <x:c r="B3" s="22" t="str">
        <x:f>'原文件'!B3</x:f>
        <x:v>只</x:v>
      </x:c>
      <x:c r="C3" s="23" t="n">
        <x:f>'原文件'!C3</x:f>
        <x:v>8</x:v>
      </x:c>
      <x:c r="D3" s="61" t="n">
        <x:f>IF('原文件'!D3*1.03&lt;10,ROUND('原文件'!D3*1.03,2),IF('原文件'!D3*1.03&lt;20,ROUND('原文件'!D3*1.03,1),ROUND('原文件'!D3*1.03,0)))</x:f>
        <x:v>5.59</x:v>
      </x:c>
      <x:c r="E3" s="62" t="n">
        <x:f>C3*D3</x:f>
        <x:v>44.72</x:v>
      </x:c>
      <x:c r="F3"/>
      <x:c r="G3"/>
    </x:row>
    <x:row r="4" ht="22" customHeight="1">
      <x:c r="A4" s="21" t="str">
        <x:f>'原文件'!A4</x:f>
        <x:v>玛钢45度弯头 32</x:v>
      </x:c>
      <x:c r="B4" s="22" t="str">
        <x:f>'原文件'!B4</x:f>
        <x:v>只</x:v>
      </x:c>
      <x:c r="C4" s="23" t="n">
        <x:f>'原文件'!C4</x:f>
        <x:v>8</x:v>
      </x:c>
      <x:c r="D4" s="61" t="n">
        <x:f>IF('原文件'!D4*1.03&lt;10,ROUND('原文件'!D4*1.03,2),IF('原文件'!D4*1.03&lt;20,ROUND('原文件'!D4*1.03,1),ROUND('原文件'!D4*1.03,0)))</x:f>
        <x:v>4.55</x:v>
      </x:c>
      <x:c r="E4" s="62" t="n">
        <x:f>C4*D4</x:f>
        <x:v>36.4</x:v>
      </x:c>
      <x:c r="F4"/>
      <x:c r="G4"/>
    </x:row>
    <x:row r="5" ht="22" customHeight="1">
      <x:c r="A5" s="21" t="str">
        <x:f>'原文件'!A5</x:f>
        <x:v>玛钢45度弯头 40</x:v>
      </x:c>
      <x:c r="B5" s="22" t="str">
        <x:f>'原文件'!B5</x:f>
        <x:v>只</x:v>
      </x:c>
      <x:c r="C5" s="23" t="n">
        <x:f>'原文件'!C5</x:f>
        <x:v>8</x:v>
      </x:c>
      <x:c r="D5" s="61" t="n">
        <x:f>IF('原文件'!D5*1.03&lt;10,ROUND('原文件'!D5*1.03,2),IF('原文件'!D5*1.03&lt;20,ROUND('原文件'!D5*1.03,1),ROUND('原文件'!D5*1.03,0)))</x:f>
        <x:v>5.74</x:v>
      </x:c>
      <x:c r="E5" s="62" t="n">
        <x:f>C5*D5</x:f>
        <x:v>45.92</x:v>
      </x:c>
      <x:c r="F5"/>
      <x:c r="G5"/>
    </x:row>
    <x:row r="6" ht="22" customHeight="1">
      <x:c r="A6" s="21" t="str">
        <x:f>'原文件'!A6</x:f>
        <x:v>面盆下水管 连体</x:v>
      </x:c>
      <x:c r="B6" s="22" t="str">
        <x:f>'原文件'!B6</x:f>
        <x:v>只</x:v>
      </x:c>
      <x:c r="C6" s="23" t="n">
        <x:f>'原文件'!C6</x:f>
        <x:v>1</x:v>
      </x:c>
      <x:c r="D6" s="61" t="n">
        <x:f>IF('原文件'!D6*1.03&lt;10,ROUND('原文件'!D6*1.03,2),IF('原文件'!D6*1.03&lt;20,ROUND('原文件'!D6*1.03,1),ROUND('原文件'!D6*1.03,0)))</x:f>
        <x:v>15.5</x:v>
      </x:c>
      <x:c r="E6" s="62" t="n">
        <x:f>C6*D6</x:f>
        <x:v>15.5</x:v>
      </x:c>
      <x:c r="F6"/>
      <x:c r="G6"/>
    </x:row>
    <x:row r="7" ht="22" customHeight="1">
      <x:c r="A7" s="68" t="str">
        <x:v>合计</x:v>
      </x:c>
      <x:c r="B7" s="69"/>
      <x:c r="C7" s="70"/>
      <x:c r="D7" s="70"/>
      <x:c r="E7" s="73" t="n">
        <x:f>SUM(E2:E6)</x:f>
        <x:v>178.94</x:v>
      </x:c>
      <x:c r="F7"/>
      <x:c r="G7"/>
    </x:row>
  </x:sheetData>
  <x:pageMargins left="0.7" right="0.7" top="0.75" bottom="0.75" header="0.3" footer="0.3"/>
</x:worksheet>
</file>